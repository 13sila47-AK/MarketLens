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Scenario Comparis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#,##0.00;\(#,##0.00\);\-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595959"/>
      <sz val="9"/>
    </font>
    <font>
      <b val="1"/>
      <sz val="13"/>
    </font>
    <font>
      <i val="1"/>
      <sz val="9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 wrapText="1"/>
    </xf>
    <xf numFmtId="165" fontId="6" fillId="2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 wrapText="1"/>
    </xf>
    <xf numFmtId="165" fontId="6" fillId="2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5" borderId="0" pivotButton="0" quotePrefix="0" xfId="0"/>
    <xf numFmtId="0" fontId="16" fillId="6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1" min="1" max="1"/>
  </cols>
  <sheetData>
    <row r="1" ht="17.25" customHeight="1" s="22">
      <c r="A1" s="23" t="inlineStr">
        <is>
          <t>MarketLens — Business Financial Model (Phase 11)</t>
        </is>
      </c>
    </row>
    <row r="3" ht="15" customHeight="1" s="22">
      <c r="A3" s="24" t="inlineStr">
        <is>
          <t>Purpose</t>
        </is>
      </c>
    </row>
    <row r="4" ht="30" customHeight="1" s="22">
      <c r="A4" s="25" t="inlineStr">
        <is>
          <t>Translates UrbanCart's verified analytics (Phases 03, 07, 08) into a structured financial model: current-state Inputs and the Outputs they drive. This is the base model Phase 12's Scenario Simulator will flex.</t>
        </is>
      </c>
    </row>
    <row r="6" ht="15" customHeight="1" s="22">
      <c r="A6" s="24" t="inlineStr">
        <is>
          <t>Color Legend</t>
        </is>
      </c>
    </row>
    <row r="7" ht="15" customHeight="1" s="22">
      <c r="A7" s="26" t="inlineStr">
        <is>
          <t>Blue text</t>
        </is>
      </c>
      <c r="B7" s="21" t="inlineStr">
        <is>
          <t>Hardcoded input, pulled from UrbanCart's verified Phase 03/07/08 data</t>
        </is>
      </c>
    </row>
    <row r="8" ht="15" customHeight="1" s="22">
      <c r="A8" s="27" t="inlineStr">
        <is>
          <t>Black text</t>
        </is>
      </c>
      <c r="B8" s="21" t="inlineStr">
        <is>
          <t>Formula — calculated, not typed in</t>
        </is>
      </c>
    </row>
    <row r="9" ht="15" customHeight="1" s="22">
      <c r="A9" s="28" t="inlineStr">
        <is>
          <t>Green text</t>
        </is>
      </c>
      <c r="B9" s="21" t="inlineStr">
        <is>
          <t>Link to another sheet in this workbook</t>
        </is>
      </c>
    </row>
    <row r="10" ht="15" customHeight="1" s="22">
      <c r="A10" s="29" t="inlineStr">
        <is>
          <t>Yellow fill</t>
        </is>
      </c>
      <c r="B10" s="21" t="inlineStr">
        <is>
          <t>Key assumption / lever — the cell to edit if you want to test a different scenario by hand</t>
        </is>
      </c>
    </row>
    <row r="12" ht="15" customHeight="1" s="22">
      <c r="A12" s="24" t="inlineStr">
        <is>
          <t>Sheets</t>
        </is>
      </c>
    </row>
    <row r="13" ht="15" customHeight="1" s="22">
      <c r="A13" s="21" t="inlineStr">
        <is>
          <t>1. Assumptions — Inputs</t>
        </is>
      </c>
      <c r="B13" s="21" t="inlineStr">
        <is>
          <t>All input values: Revenue, Retention, Discount, Marketing Spend, Conversion, Customer Acquisition, Return Rate, Costs</t>
        </is>
      </c>
    </row>
    <row r="14" ht="15" customHeight="1" s="22">
      <c r="A14" s="21" t="inlineStr">
        <is>
          <t>2. Financial Model — Outputs</t>
        </is>
      </c>
      <c r="B14" s="21" t="inlineStr">
        <is>
          <t>Revenue, Gross Profit, Margin, CAC, ROI, Expected Profit, Incremental Value — all computed from Assumptions via formulas</t>
        </is>
      </c>
    </row>
    <row r="16" ht="15" customHeight="1" s="22">
      <c r="A16" s="24" t="inlineStr">
        <is>
          <t>Data Basis</t>
        </is>
      </c>
    </row>
    <row r="17" ht="45" customHeight="1" s="22">
      <c r="A17" s="25" t="inlineStr">
        <is>
          <t>All figures are UrbanCart's actual FY2025 (Jan-Dec 2025) results, computed directly from data/raw/*.csv and data/processed/*.csv in this project — the same source files Phase 07's business_analytics_report.md and Phase 08/09's reports were verified against. Nothing here is invented; see the Source column on the Assumptions sheet for the exact file and calculation behind every number.</t>
        </is>
      </c>
    </row>
    <row r="19" ht="15" customHeight="1" s="22">
      <c r="A19" s="24" t="inlineStr">
        <is>
          <t>Honest Limitation</t>
        </is>
      </c>
    </row>
    <row r="20" ht="30" customHeight="1" s="22">
      <c r="A20" s="25" t="inlineStr">
        <is>
          <t>'Incremental Value' on the Financial Model sheet is 0 in this baseline — by definition, the current state has no incremental value versus itself. Incremental value only exists relative to a scenario, which is what Phase 12's Scenario Simulator adds on top of this model's structure.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34" customWidth="1" style="21" min="2" max="2"/>
    <col width="18" customWidth="1" style="21" min="3" max="3"/>
    <col width="10" customWidth="1" style="21" min="4" max="4"/>
    <col width="60" customWidth="1" style="21" min="5" max="5"/>
  </cols>
  <sheetData>
    <row r="1" ht="21.75" customHeight="1" s="22">
      <c r="A1" s="30" t="inlineStr">
        <is>
          <t>UrbanCart — Financial Model Inputs (FY2025 Baseline)</t>
        </is>
      </c>
    </row>
    <row r="2" ht="15" customHeight="1" s="22">
      <c r="A2" s="31" t="n"/>
      <c r="B2" s="31" t="inlineStr">
        <is>
          <t>Assumption</t>
        </is>
      </c>
      <c r="C2" s="31" t="inlineStr">
        <is>
          <t>Value</t>
        </is>
      </c>
      <c r="D2" s="31" t="inlineStr">
        <is>
          <t>Unit</t>
        </is>
      </c>
      <c r="E2" s="31" t="inlineStr">
        <is>
          <t>Source</t>
        </is>
      </c>
    </row>
    <row r="4" ht="18" customHeight="1" s="22">
      <c r="A4" s="32" t="inlineStr">
        <is>
          <t>Revenue &amp; Volume</t>
        </is>
      </c>
    </row>
    <row r="5" ht="15" customHeight="1" s="22">
      <c r="B5" s="33" t="inlineStr">
        <is>
          <t>Gross Revenue (FY2025)</t>
        </is>
      </c>
      <c r="C5" s="34" t="n">
        <v>367924999.78</v>
      </c>
      <c r="D5" s="33" t="inlineStr">
        <is>
          <t>INR</t>
        </is>
      </c>
      <c r="E5" s="35" t="inlineStr">
        <is>
          <t>kpi_margin_trend_yoy.csv, 2025 row (Phase 07)</t>
        </is>
      </c>
    </row>
    <row r="6" ht="15" customHeight="1" s="22">
      <c r="B6" s="33" t="inlineStr">
        <is>
          <t>Total Orders (FY2025)</t>
        </is>
      </c>
      <c r="C6" s="34" t="n">
        <v>30895</v>
      </c>
      <c r="D6" s="33" t="inlineStr">
        <is>
          <t>orders</t>
        </is>
      </c>
      <c r="E6" s="35" t="inlineStr">
        <is>
          <t>orders.csv filtered to order_date year=2025 (Phase 03/05)</t>
        </is>
      </c>
    </row>
    <row r="7" ht="15" customHeight="1" s="22">
      <c r="B7" s="33" t="inlineStr">
        <is>
          <t>New Customers Acquired (signup, FY2025)</t>
        </is>
      </c>
      <c r="C7" s="34" t="n">
        <v>12749</v>
      </c>
      <c r="D7" s="33" t="inlineStr">
        <is>
          <t>customers</t>
        </is>
      </c>
      <c r="E7" s="35" t="inlineStr">
        <is>
          <t>customers.csv, signup_date year=2025 (Phase 03)</t>
        </is>
      </c>
    </row>
    <row r="9" ht="18" customHeight="1" s="22">
      <c r="A9" s="32" t="inlineStr">
        <is>
          <t>Retention</t>
        </is>
      </c>
    </row>
    <row r="10" ht="15" customHeight="1" s="22">
      <c r="B10" s="33" t="inlineStr">
        <is>
          <t>Average Monthly Retention Rate (FY2025)</t>
        </is>
      </c>
      <c r="C10" s="36" t="n">
        <v>0.124</v>
      </c>
      <c r="D10" s="33" t="inlineStr">
        <is>
          <t>%</t>
        </is>
      </c>
      <c r="E10" s="35" t="inlineStr">
        <is>
          <t>kpi_monthly_retention.csv, avg of 2025 months (Phase 07/08)</t>
        </is>
      </c>
    </row>
    <row r="12" ht="18" customHeight="1" s="22">
      <c r="A12" s="32" t="inlineStr">
        <is>
          <t>Discount</t>
        </is>
      </c>
    </row>
    <row r="13" ht="15" customHeight="1" s="22">
      <c r="B13" s="33" t="inlineStr">
        <is>
          <t>Discount Rate (% of order value, FY2025)</t>
        </is>
      </c>
      <c r="C13" s="36" t="n">
        <v>0.1344</v>
      </c>
      <c r="D13" s="33" t="inlineStr">
        <is>
          <t>%</t>
        </is>
      </c>
      <c r="E13" s="35" t="inlineStr">
        <is>
          <t>kpi_margin_trend_yoy.csv, 2025 row (Phase 07)</t>
        </is>
      </c>
    </row>
    <row r="15" ht="18" customHeight="1" s="22">
      <c r="A15" s="32" t="inlineStr">
        <is>
          <t>Marketing Spend</t>
        </is>
      </c>
    </row>
    <row r="16" ht="15" customHeight="1" s="22">
      <c r="B16" s="33" t="inlineStr">
        <is>
          <t>Total Marketing Spend (FY2025)</t>
        </is>
      </c>
      <c r="C16" s="34" t="n">
        <v>6536583.3</v>
      </c>
      <c r="D16" s="33" t="inlineStr">
        <is>
          <t>INR</t>
        </is>
      </c>
      <c r="E16" s="35" t="inlineStr">
        <is>
          <t>kpi_campaign_performance.csv, campaigns dated 2025 (Phase 07)</t>
        </is>
      </c>
    </row>
    <row r="17" ht="15" customHeight="1" s="22">
      <c r="B17" s="33" t="inlineStr">
        <is>
          <t>Customers Targeted (FY2025 campaigns)</t>
        </is>
      </c>
      <c r="C17" s="34" t="n">
        <v>227104</v>
      </c>
      <c r="D17" s="33" t="inlineStr">
        <is>
          <t>customers</t>
        </is>
      </c>
      <c r="E17" s="35" t="inlineStr">
        <is>
          <t>kpi_campaign_performance.csv, 2025 campaigns (Phase 07)</t>
        </is>
      </c>
    </row>
    <row r="18" ht="15" customHeight="1" s="22">
      <c r="B18" s="33" t="inlineStr">
        <is>
          <t>Customers Converted (FY2025 campaigns)</t>
        </is>
      </c>
      <c r="C18" s="34" t="n">
        <v>6508</v>
      </c>
      <c r="D18" s="33" t="inlineStr">
        <is>
          <t>customers</t>
        </is>
      </c>
      <c r="E18" s="35" t="inlineStr">
        <is>
          <t>kpi_campaign_performance.csv, 2025 campaigns (Phase 07)</t>
        </is>
      </c>
    </row>
    <row r="19" ht="15" customHeight="1" s="22">
      <c r="B19" s="33" t="inlineStr">
        <is>
          <t>Customers Acquired via Marketing (FY2025)</t>
        </is>
      </c>
      <c r="C19" s="34" t="n">
        <v>5885</v>
      </c>
      <c r="D19" s="33" t="inlineStr">
        <is>
          <t>customers</t>
        </is>
      </c>
      <c r="E19" s="35" t="inlineStr">
        <is>
          <t>kpi_campaign_performance.csv, 2025 campaigns (Phase 07)</t>
        </is>
      </c>
    </row>
    <row r="20" ht="15" customHeight="1" s="22">
      <c r="B20" s="33" t="inlineStr">
        <is>
          <t>Revenue from Acquired Customers (FY2025)</t>
        </is>
      </c>
      <c r="C20" s="34" t="n">
        <v>47847409.34</v>
      </c>
      <c r="D20" s="33" t="inlineStr">
        <is>
          <t>INR</t>
        </is>
      </c>
      <c r="E20" s="35" t="inlineStr">
        <is>
          <t>kpi_campaign_performance.csv, 2025 campaigns (Phase 07)</t>
        </is>
      </c>
    </row>
    <row r="22" ht="18" customHeight="1" s="22">
      <c r="A22" s="32" t="inlineStr">
        <is>
          <t>Conversion</t>
        </is>
      </c>
    </row>
    <row r="23" ht="15" customHeight="1" s="22">
      <c r="B23" s="33" t="inlineStr">
        <is>
          <t>Conversion Rate (Converted / Targeted)</t>
        </is>
      </c>
      <c r="C23" s="37">
        <f>C18/C17</f>
        <v/>
      </c>
      <c r="D23" s="33" t="inlineStr">
        <is>
          <t>%</t>
        </is>
      </c>
      <c r="E23" s="38" t="inlineStr">
        <is>
          <t>Formula: Customers Converted / Customers Targeted</t>
        </is>
      </c>
    </row>
    <row r="25" ht="18" customHeight="1" s="22">
      <c r="A25" s="32" t="inlineStr">
        <is>
          <t>Customer Acquisition Cost</t>
        </is>
      </c>
    </row>
    <row r="26" ht="15" customHeight="1" s="22">
      <c r="B26" s="33" t="inlineStr">
        <is>
          <t>CAC (Marketing Spend / Customers Acquired)</t>
        </is>
      </c>
      <c r="C26" s="39">
        <f>C16/C19</f>
        <v/>
      </c>
      <c r="D26" s="33" t="inlineStr">
        <is>
          <t>INR/cust</t>
        </is>
      </c>
      <c r="E26" s="38" t="inlineStr">
        <is>
          <t>Formula: Total Marketing Spend / Customers Acquired via Marketing</t>
        </is>
      </c>
    </row>
    <row r="28" ht="18" customHeight="1" s="22">
      <c r="A28" s="32" t="inlineStr">
        <is>
          <t>Returns</t>
        </is>
      </c>
    </row>
    <row r="29" ht="15" customHeight="1" s="22">
      <c r="B29" s="33" t="inlineStr">
        <is>
          <t>Return Rate (FY2025)</t>
        </is>
      </c>
      <c r="C29" s="36" t="n">
        <v>0.0718</v>
      </c>
      <c r="D29" s="33" t="inlineStr">
        <is>
          <t>%</t>
        </is>
      </c>
      <c r="E29" s="35" t="inlineStr">
        <is>
          <t>kpi_margin_trend_yoy.csv, 2025 row (Phase 07)</t>
        </is>
      </c>
    </row>
    <row r="30" ht="15" customHeight="1" s="22">
      <c r="B30" s="33" t="inlineStr">
        <is>
          <t>Total Return Amount (FY2025)</t>
        </is>
      </c>
      <c r="C30" s="34" t="n">
        <v>26193002.54</v>
      </c>
      <c r="D30" s="33" t="inlineStr">
        <is>
          <t>INR</t>
        </is>
      </c>
      <c r="E30" s="35" t="inlineStr">
        <is>
          <t>returns.csv, return_date year=2025 (Phase 03)</t>
        </is>
      </c>
    </row>
    <row r="32" ht="18" customHeight="1" s="22">
      <c r="A32" s="32" t="inlineStr">
        <is>
          <t>Costs</t>
        </is>
      </c>
    </row>
    <row r="33" ht="15" customHeight="1" s="22">
      <c r="B33" s="33" t="inlineStr">
        <is>
          <t>COGS (FY2025)</t>
        </is>
      </c>
      <c r="C33" s="34" t="n">
        <v>259501256.23</v>
      </c>
      <c r="D33" s="33" t="inlineStr">
        <is>
          <t>INR</t>
        </is>
      </c>
      <c r="E33" s="35" t="inlineStr">
        <is>
          <t>kpi_margin_trend_yoy.csv, 2025 row (Phase 07)</t>
        </is>
      </c>
    </row>
    <row r="34" ht="15" customHeight="1" s="22">
      <c r="B34" s="33" t="inlineStr">
        <is>
          <t>Shipping Cost (FY2025)</t>
        </is>
      </c>
      <c r="C34" s="34" t="n">
        <v>5326939.64</v>
      </c>
      <c r="D34" s="33" t="inlineStr">
        <is>
          <t>INR</t>
        </is>
      </c>
      <c r="E34" s="35" t="inlineStr">
        <is>
          <t>costs.csv joined to orders.csv, order_date year=2025 (Phase 03)</t>
        </is>
      </c>
    </row>
    <row r="35" ht="15" customHeight="1" s="22">
      <c r="B35" s="33" t="inlineStr">
        <is>
          <t>Operational Cost (FY2025)</t>
        </is>
      </c>
      <c r="C35" s="34" t="n">
        <v>29675843.83</v>
      </c>
      <c r="D35" s="33" t="inlineStr">
        <is>
          <t>INR</t>
        </is>
      </c>
      <c r="E35" s="35" t="inlineStr">
        <is>
          <t>costs.csv joined to orders.csv, order_date year=2025 (Phase 03)</t>
        </is>
      </c>
    </row>
  </sheetData>
  <mergeCells count="9">
    <mergeCell ref="A12:E12"/>
    <mergeCell ref="A4:E4"/>
    <mergeCell ref="A15:E15"/>
    <mergeCell ref="A28:E28"/>
    <mergeCell ref="A25:E25"/>
    <mergeCell ref="A1:E1"/>
    <mergeCell ref="A32:E32"/>
    <mergeCell ref="A22:E22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34" customWidth="1" style="21" min="2" max="2"/>
    <col width="20" customWidth="1" style="21" min="3" max="3"/>
    <col width="10" customWidth="1" style="21" min="4" max="4"/>
    <col width="60" customWidth="1" style="21" min="5" max="5"/>
  </cols>
  <sheetData>
    <row r="1" ht="21.75" customHeight="1" s="22">
      <c r="A1" s="30" t="inlineStr">
        <is>
          <t>UrbanCart — Financial Model Outputs (Current / FY2025 Baseline)</t>
        </is>
      </c>
    </row>
    <row r="2" ht="15" customHeight="1" s="22">
      <c r="A2" s="31" t="n"/>
      <c r="B2" s="31" t="inlineStr">
        <is>
          <t>Output</t>
        </is>
      </c>
      <c r="C2" s="31" t="inlineStr">
        <is>
          <t>Value</t>
        </is>
      </c>
      <c r="D2" s="31" t="inlineStr">
        <is>
          <t>Unit</t>
        </is>
      </c>
      <c r="E2" s="31" t="inlineStr">
        <is>
          <t>Formula / Note</t>
        </is>
      </c>
    </row>
    <row r="4" ht="18" customHeight="1" s="22">
      <c r="A4" s="32" t="inlineStr">
        <is>
          <t>Revenue</t>
        </is>
      </c>
    </row>
    <row r="5" ht="15" customHeight="1" s="22">
      <c r="B5" s="33" t="inlineStr">
        <is>
          <t>Gross Revenue</t>
        </is>
      </c>
      <c r="C5" s="40">
        <f>Assumptions!C5</f>
        <v/>
      </c>
      <c r="D5" s="33" t="inlineStr">
        <is>
          <t>INR</t>
        </is>
      </c>
      <c r="E5" s="35" t="inlineStr">
        <is>
          <t>Linked directly from Assumptions</t>
        </is>
      </c>
    </row>
    <row r="7" ht="18" customHeight="1" s="22">
      <c r="A7" s="32" t="inlineStr">
        <is>
          <t>Profitability</t>
        </is>
      </c>
    </row>
    <row r="8" ht="15" customHeight="1" s="22">
      <c r="B8" s="33" t="inlineStr">
        <is>
          <t>COGS</t>
        </is>
      </c>
      <c r="C8" s="40">
        <f>Assumptions!C33</f>
        <v/>
      </c>
      <c r="D8" s="33" t="inlineStr">
        <is>
          <t>INR</t>
        </is>
      </c>
      <c r="E8" s="35" t="inlineStr">
        <is>
          <t>Linked from Assumptions</t>
        </is>
      </c>
    </row>
    <row r="9" ht="15" customHeight="1" s="22">
      <c r="B9" s="33" t="inlineStr">
        <is>
          <t>Gross Profit</t>
        </is>
      </c>
      <c r="C9" s="41">
        <f>C5-C8</f>
        <v/>
      </c>
      <c r="D9" s="33" t="inlineStr">
        <is>
          <t>INR</t>
        </is>
      </c>
      <c r="E9" s="35" t="inlineStr">
        <is>
          <t>Gross Revenue - COGS</t>
        </is>
      </c>
    </row>
    <row r="10" ht="15" customHeight="1" s="22">
      <c r="B10" s="33" t="inlineStr">
        <is>
          <t>Gross Margin %</t>
        </is>
      </c>
      <c r="C10" s="37">
        <f>C9/C5</f>
        <v/>
      </c>
      <c r="D10" s="33" t="inlineStr">
        <is>
          <t>%</t>
        </is>
      </c>
      <c r="E10" s="35" t="inlineStr">
        <is>
          <t>Gross Profit / Gross Revenue</t>
        </is>
      </c>
    </row>
    <row r="12" ht="18" customHeight="1" s="22">
      <c r="A12" s="32" t="inlineStr">
        <is>
          <t>Operating Costs</t>
        </is>
      </c>
    </row>
    <row r="13" ht="15" customHeight="1" s="22">
      <c r="B13" s="33" t="inlineStr">
        <is>
          <t>Shipping Cost</t>
        </is>
      </c>
      <c r="C13" s="40">
        <f>Assumptions!C34</f>
        <v/>
      </c>
      <c r="D13" s="33" t="inlineStr">
        <is>
          <t>INR</t>
        </is>
      </c>
      <c r="E13" s="35" t="inlineStr">
        <is>
          <t>Linked from Assumptions</t>
        </is>
      </c>
    </row>
    <row r="14" ht="15" customHeight="1" s="22">
      <c r="B14" s="33" t="inlineStr">
        <is>
          <t>Operational Cost</t>
        </is>
      </c>
      <c r="C14" s="40">
        <f>Assumptions!C35</f>
        <v/>
      </c>
      <c r="D14" s="33" t="inlineStr">
        <is>
          <t>INR</t>
        </is>
      </c>
      <c r="E14" s="35" t="inlineStr">
        <is>
          <t>Linked from Assumptions</t>
        </is>
      </c>
    </row>
    <row r="15" ht="15" customHeight="1" s="22">
      <c r="B15" s="33" t="inlineStr">
        <is>
          <t>Return Amount</t>
        </is>
      </c>
      <c r="C15" s="40">
        <f>Assumptions!C30</f>
        <v/>
      </c>
      <c r="D15" s="33" t="inlineStr">
        <is>
          <t>INR</t>
        </is>
      </c>
      <c r="E15" s="35" t="inlineStr">
        <is>
          <t>Linked from Assumptions</t>
        </is>
      </c>
    </row>
    <row r="16" ht="15" customHeight="1" s="22">
      <c r="B16" s="33" t="inlineStr">
        <is>
          <t>Marketing Spend</t>
        </is>
      </c>
      <c r="C16" s="40">
        <f>Assumptions!C16</f>
        <v/>
      </c>
      <c r="D16" s="33" t="inlineStr">
        <is>
          <t>INR</t>
        </is>
      </c>
      <c r="E16" s="35" t="inlineStr">
        <is>
          <t>Linked from Assumptions</t>
        </is>
      </c>
    </row>
    <row r="17" ht="15" customHeight="1" s="22">
      <c r="B17" s="33" t="inlineStr">
        <is>
          <t>Total Operating Costs</t>
        </is>
      </c>
      <c r="C17" s="41">
        <f>SUM(C13:C16)</f>
        <v/>
      </c>
      <c r="D17" s="33" t="inlineStr">
        <is>
          <t>INR</t>
        </is>
      </c>
      <c r="E17" s="35" t="inlineStr">
        <is>
          <t>Shipping + Operational + Returns + Marketing Spend</t>
        </is>
      </c>
    </row>
    <row r="19" ht="18" customHeight="1" s="22">
      <c r="A19" s="32" t="inlineStr">
        <is>
          <t>Net Result</t>
        </is>
      </c>
    </row>
    <row r="20" ht="15" customHeight="1" s="22">
      <c r="B20" s="33" t="inlineStr">
        <is>
          <t>Net Profit</t>
        </is>
      </c>
      <c r="C20" s="41">
        <f>C9-C17</f>
        <v/>
      </c>
      <c r="D20" s="33" t="inlineStr">
        <is>
          <t>INR</t>
        </is>
      </c>
      <c r="E20" s="35" t="inlineStr">
        <is>
          <t>Gross Profit - Total Operating Costs</t>
        </is>
      </c>
    </row>
    <row r="21" ht="15" customHeight="1" s="22">
      <c r="B21" s="33" t="inlineStr">
        <is>
          <t>Net Margin %</t>
        </is>
      </c>
      <c r="C21" s="37">
        <f>C20/C5</f>
        <v/>
      </c>
      <c r="D21" s="33" t="inlineStr">
        <is>
          <t>%</t>
        </is>
      </c>
      <c r="E21" s="35" t="inlineStr">
        <is>
          <t>Net Profit / Gross Revenue</t>
        </is>
      </c>
    </row>
    <row r="23" ht="18" customHeight="1" s="22">
      <c r="A23" s="32" t="inlineStr">
        <is>
          <t>Customer Acquisition Cost (CAC)</t>
        </is>
      </c>
    </row>
    <row r="24" ht="15" customHeight="1" s="22">
      <c r="B24" s="33" t="inlineStr">
        <is>
          <t>CAC</t>
        </is>
      </c>
      <c r="C24" s="40">
        <f>Assumptions!C26</f>
        <v/>
      </c>
      <c r="D24" s="33" t="inlineStr">
        <is>
          <t>INR/cust</t>
        </is>
      </c>
      <c r="E24" s="35" t="inlineStr">
        <is>
          <t>Linked from Assumptions (Marketing Spend / Customers Acquired)</t>
        </is>
      </c>
    </row>
    <row r="26" ht="18" customHeight="1" s="22">
      <c r="A26" s="32" t="inlineStr">
        <is>
          <t>Marketing ROI</t>
        </is>
      </c>
    </row>
    <row r="27" ht="15" customHeight="1" s="22">
      <c r="B27" s="33" t="inlineStr">
        <is>
          <t>Revenue from Acquired Customers</t>
        </is>
      </c>
      <c r="C27" s="40">
        <f>Assumptions!C20</f>
        <v/>
      </c>
      <c r="D27" s="33" t="inlineStr">
        <is>
          <t>INR</t>
        </is>
      </c>
      <c r="E27" s="35" t="inlineStr">
        <is>
          <t>Linked from Assumptions</t>
        </is>
      </c>
    </row>
    <row r="28" ht="15" customHeight="1" s="22">
      <c r="B28" s="33" t="inlineStr">
        <is>
          <t>Marketing ROI %</t>
        </is>
      </c>
      <c r="C28" s="37">
        <f>(C27-C16)/C16</f>
        <v/>
      </c>
      <c r="D28" s="33" t="inlineStr">
        <is>
          <t>%</t>
        </is>
      </c>
      <c r="E28" s="35" t="inlineStr">
        <is>
          <t>(Revenue from Acquired - Marketing Spend) / Marketing Spend</t>
        </is>
      </c>
    </row>
    <row r="30" ht="18" customHeight="1" s="22">
      <c r="A30" s="32" t="inlineStr">
        <is>
          <t>Expected Profit (Current Run-Rate)</t>
        </is>
      </c>
    </row>
    <row r="31" ht="15" customHeight="1" s="22">
      <c r="B31" s="33" t="inlineStr">
        <is>
          <t>Expected Profit</t>
        </is>
      </c>
      <c r="C31" s="41">
        <f>C20</f>
        <v/>
      </c>
      <c r="D31" s="33" t="inlineStr">
        <is>
          <t>INR</t>
        </is>
      </c>
      <c r="E31" s="35" t="inlineStr">
        <is>
          <t>Equals Net Profit at current assumptions (this IS the current run-rate; a scenario changes this).</t>
        </is>
      </c>
    </row>
    <row r="33" ht="18" customHeight="1" s="22">
      <c r="A33" s="32" t="inlineStr">
        <is>
          <t>Incremental Value vs. Current</t>
        </is>
      </c>
    </row>
    <row r="34" ht="32.25" customHeight="1" s="22">
      <c r="B34" s="33" t="inlineStr">
        <is>
          <t>Incremental Value</t>
        </is>
      </c>
      <c r="C34" s="41" t="n">
        <v>0</v>
      </c>
      <c r="D34" s="33" t="inlineStr">
        <is>
          <t>INR</t>
        </is>
      </c>
      <c r="E34" s="35" t="inlineStr">
        <is>
          <t>0 by definition — the current state has no incremental value vs. itself. Phase 12's Scenario Simulator computes this as (Scenario Expected Profit - this cell) for each scenario.</t>
        </is>
      </c>
    </row>
  </sheetData>
  <mergeCells count="9">
    <mergeCell ref="A30:E30"/>
    <mergeCell ref="A12:E12"/>
    <mergeCell ref="A4:E4"/>
    <mergeCell ref="A26:E26"/>
    <mergeCell ref="A7:E7"/>
    <mergeCell ref="A19:E19"/>
    <mergeCell ref="A33:E33"/>
    <mergeCell ref="A1:E1"/>
    <mergeCell ref="A23:E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2" customWidth="1" style="22" min="1" max="1"/>
    <col width="20" customWidth="1" style="22" min="2" max="2"/>
    <col width="20" customWidth="1" style="22" min="3" max="3"/>
    <col width="20" customWidth="1" style="22" min="4" max="4"/>
    <col width="20" customWidth="1" style="22" min="5" max="5"/>
  </cols>
  <sheetData>
    <row r="1">
      <c r="A1" s="42" t="inlineStr">
        <is>
          <t>UrbanCart — Scenario Comparison (Phase 12)</t>
        </is>
      </c>
    </row>
    <row r="2">
      <c r="A2" s="43" t="inlineStr">
        <is>
          <t>All four scenarios computed from the same verified FY2025 baseline as the Financial Model sheet.</t>
        </is>
      </c>
    </row>
    <row r="4">
      <c r="A4" s="44" t="inlineStr">
        <is>
          <t>Scenario Levers</t>
        </is>
      </c>
    </row>
    <row r="5">
      <c r="A5" s="45" t="inlineStr">
        <is>
          <t>Lever</t>
        </is>
      </c>
      <c r="B5" s="45" t="inlineStr">
        <is>
          <t>Value</t>
        </is>
      </c>
      <c r="C5" s="45" t="inlineStr">
        <is>
          <t>Note</t>
        </is>
      </c>
    </row>
    <row r="6">
      <c r="A6" t="inlineStr">
        <is>
          <t>Retention improvement</t>
        </is>
      </c>
      <c r="B6" s="46" t="inlineStr">
        <is>
          <t>+5 percentage points</t>
        </is>
      </c>
      <c r="C6" t="inlineStr">
        <is>
          <t>Fixed by spec</t>
        </is>
      </c>
    </row>
    <row r="7">
      <c r="A7" t="inlineStr">
        <is>
          <t>Discount reduction</t>
        </is>
      </c>
      <c r="B7" s="46" t="inlineStr">
        <is>
          <t>-2 percentage points</t>
        </is>
      </c>
      <c r="C7" t="inlineStr">
        <is>
          <t>Fixed by spec</t>
        </is>
      </c>
    </row>
    <row r="8">
      <c r="A8" t="inlineStr">
        <is>
          <t>Marketing increase</t>
        </is>
      </c>
      <c r="B8" s="46" t="inlineStr">
        <is>
          <t>+25% spend, elasticity 0.7</t>
        </is>
      </c>
      <c r="C8" t="inlineStr">
        <is>
          <t>Assumed — spec gives no fixed %</t>
        </is>
      </c>
    </row>
    <row r="10">
      <c r="A10" s="44" t="inlineStr">
        <is>
          <t>Comparison Table</t>
        </is>
      </c>
    </row>
    <row r="11">
      <c r="A11" s="47" t="inlineStr">
        <is>
          <t>Metric</t>
        </is>
      </c>
      <c r="B11" s="47" t="inlineStr">
        <is>
          <t>Current</t>
        </is>
      </c>
      <c r="C11" s="47" t="inlineStr">
        <is>
          <t>Retention +5pp</t>
        </is>
      </c>
      <c r="D11" s="47" t="inlineStr">
        <is>
          <t>Discount -2pp</t>
        </is>
      </c>
      <c r="E11" s="47" t="inlineStr">
        <is>
          <t>Marketing +25%</t>
        </is>
      </c>
    </row>
    <row r="12">
      <c r="A12" s="45" t="inlineStr">
        <is>
          <t>Gross Revenue (INR)</t>
        </is>
      </c>
      <c r="B12" t="inlineStr">
        <is>
          <t>367,924,999.78</t>
        </is>
      </c>
      <c r="C12" t="inlineStr">
        <is>
          <t>474,500,912.41</t>
        </is>
      </c>
      <c r="D12" t="inlineStr">
        <is>
          <t>376,426,039.52</t>
        </is>
      </c>
      <c r="E12" t="inlineStr">
        <is>
          <t>376,014,109.59</t>
        </is>
      </c>
    </row>
    <row r="13">
      <c r="A13" s="45" t="inlineStr">
        <is>
          <t>Gross Profit (INR)</t>
        </is>
      </c>
      <c r="B13" t="inlineStr">
        <is>
          <t>108,423,743.55</t>
        </is>
      </c>
      <c r="C13" t="inlineStr">
        <is>
          <t>139,830,577.62</t>
        </is>
      </c>
      <c r="D13" t="inlineStr">
        <is>
          <t>116,924,783.29</t>
        </is>
      </c>
      <c r="E13" t="inlineStr">
        <is>
          <t>110,807,521.68</t>
        </is>
      </c>
    </row>
    <row r="14">
      <c r="A14" s="45" t="inlineStr">
        <is>
          <t>Gross Margin %</t>
        </is>
      </c>
      <c r="B14" t="inlineStr">
        <is>
          <t>29.47%</t>
        </is>
      </c>
      <c r="C14" t="inlineStr">
        <is>
          <t>29.47%</t>
        </is>
      </c>
      <c r="D14" t="inlineStr">
        <is>
          <t>31.06%</t>
        </is>
      </c>
      <c r="E14" t="inlineStr">
        <is>
          <t>29.47%</t>
        </is>
      </c>
    </row>
    <row r="15">
      <c r="A15" s="45" t="inlineStr">
        <is>
          <t>Total Operating Costs (INR)</t>
        </is>
      </c>
      <c r="B15" t="inlineStr">
        <is>
          <t>67,732,369.31</t>
        </is>
      </c>
      <c r="C15" t="inlineStr">
        <is>
          <t>85,458,799.28</t>
        </is>
      </c>
      <c r="D15" t="inlineStr">
        <is>
          <t>67,732,369.31</t>
        </is>
      </c>
      <c r="E15" t="inlineStr">
        <is>
          <t>70,711,950.84</t>
        </is>
      </c>
    </row>
    <row r="16">
      <c r="A16" s="45" t="inlineStr">
        <is>
          <t>Net Profit (INR)</t>
        </is>
      </c>
      <c r="B16" t="inlineStr">
        <is>
          <t>40,691,374.24</t>
        </is>
      </c>
      <c r="C16" t="inlineStr">
        <is>
          <t>54,371,778.34</t>
        </is>
      </c>
      <c r="D16" t="inlineStr">
        <is>
          <t>49,192,413.98</t>
        </is>
      </c>
      <c r="E16" t="inlineStr">
        <is>
          <t>40,095,570.83</t>
        </is>
      </c>
    </row>
    <row r="17">
      <c r="A17" s="45" t="inlineStr">
        <is>
          <t>Net Margin %</t>
        </is>
      </c>
      <c r="B17" t="inlineStr">
        <is>
          <t>11.06%</t>
        </is>
      </c>
      <c r="C17" t="inlineStr">
        <is>
          <t>11.46%</t>
        </is>
      </c>
      <c r="D17" t="inlineStr">
        <is>
          <t>13.07%</t>
        </is>
      </c>
      <c r="E17" t="inlineStr">
        <is>
          <t>10.66%</t>
        </is>
      </c>
    </row>
    <row r="18">
      <c r="A18" s="45" t="inlineStr">
        <is>
          <t>CAC (INR/customer)</t>
        </is>
      </c>
      <c r="B18" t="inlineStr">
        <is>
          <t>1,110.72</t>
        </is>
      </c>
      <c r="C18" t="inlineStr">
        <is>
          <t>1,110.72</t>
        </is>
      </c>
      <c r="D18" t="inlineStr">
        <is>
          <t>1,110.72</t>
        </is>
      </c>
      <c r="E18" t="inlineStr">
        <is>
          <t>1,187.62</t>
        </is>
      </c>
    </row>
    <row r="19">
      <c r="A19" s="45" t="inlineStr">
        <is>
          <t>Marketing ROI %</t>
        </is>
      </c>
      <c r="B19" t="inlineStr">
        <is>
          <t>632.0%</t>
        </is>
      </c>
      <c r="C19" t="inlineStr">
        <is>
          <t>632.0%</t>
        </is>
      </c>
      <c r="D19" t="inlineStr">
        <is>
          <t>632.0%</t>
        </is>
      </c>
      <c r="E19" t="inlineStr">
        <is>
          <t>584.6%</t>
        </is>
      </c>
    </row>
    <row r="20">
      <c r="A20" s="45" t="inlineStr">
        <is>
          <t>Incremental Value vs Current (INR)</t>
        </is>
      </c>
      <c r="B20" t="inlineStr">
        <is>
          <t>0.00</t>
        </is>
      </c>
      <c r="C20" t="inlineStr">
        <is>
          <t>13,680,404.10</t>
        </is>
      </c>
      <c r="D20" t="inlineStr">
        <is>
          <t>8,501,039.74</t>
        </is>
      </c>
      <c r="E20" t="inlineStr">
        <is>
          <t>-595,803.41</t>
        </is>
      </c>
    </row>
    <row r="23">
      <c r="A23" s="44" t="inlineStr">
        <is>
          <t>Data Integrity Note</t>
        </is>
      </c>
    </row>
    <row r="24" ht="60" customHeight="1" s="22">
      <c r="A24" s="48" t="inlineStr">
        <is>
          <t>FY2025 order count verified independently at 36,459 (raw orders.csv and kpi_revenue_by_month.csv agree). The Assumptions sheet's 'Total Orders (FY2025)' cell (30,895) does not match this and looks like a stale/incorrect filter from Phase 11 -- flagged for correction. It did not affect any Financial Model formula (Total Orders is not referenced downstream) and does not affect these scenario results, which recompute order-level splits directly from source data.</t>
        </is>
      </c>
    </row>
  </sheetData>
  <mergeCells count="1"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2026-09-12T16:53:26Z</dcterms:created>
  <dcterms:modified xmlns:dcterms="http://purl.org/dc/terms/" xmlns:xsi="http://www.w3.org/2001/XMLSchema-instance" xsi:type="dcterms:W3CDTF">2026-09-12T17:20:57Z</dcterms:modified>
  <cp:revision>0</cp:revision>
</cp:coreProperties>
</file>